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os OpenOmni CL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LP&quot;"/>
  </numFmts>
  <fonts count="6">
    <font>
      <name val="Calibri"/>
      <family val="2"/>
      <color theme="1"/>
      <sz val="11"/>
      <scheme val="minor"/>
    </font>
    <font>
      <b val="1"/>
      <color rgb="00FF6A3D"/>
      <sz val="16"/>
    </font>
    <font>
      <i val="1"/>
      <color rgb="00808A99"/>
      <sz val="10"/>
    </font>
    <font>
      <b val="1"/>
      <color rgb="00FFFFFF"/>
    </font>
    <font>
      <b val="1"/>
    </font>
    <font>
      <b val="1"/>
      <color rgb="00FF6A3D"/>
      <sz val="13"/>
    </font>
  </fonts>
  <fills count="6">
    <fill>
      <patternFill/>
    </fill>
    <fill>
      <patternFill patternType="gray125"/>
    </fill>
    <fill>
      <patternFill patternType="solid">
        <fgColor rgb="001E2530"/>
      </patternFill>
    </fill>
    <fill>
      <patternFill patternType="solid">
        <fgColor rgb="003A4759"/>
      </patternFill>
    </fill>
    <fill>
      <patternFill patternType="solid">
        <fgColor rgb="00EDEFF3"/>
      </patternFill>
    </fill>
    <fill>
      <patternFill patternType="solid">
        <fgColor rgb="00FFE7D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" customWidth="1" min="3" max="3"/>
    <col width="14" customWidth="1" min="4" max="4"/>
    <col width="15" customWidth="1" min="5" max="5"/>
    <col width="14" customWidth="1" min="6" max="6"/>
    <col width="15" customWidth="1" min="7" max="7"/>
    <col width="34" customWidth="1" min="8" max="8"/>
  </cols>
  <sheetData>
    <row r="1">
      <c r="A1" s="1" t="inlineStr">
        <is>
          <t>OpenOmni - Costos (Antofagasta, Chile) - CLP</t>
        </is>
      </c>
    </row>
    <row r="2">
      <c r="A2" s="2" t="inlineStr">
        <is>
          <t>Escenario MAXIMO vs ECONOMICO (rescatando/sustituyendo). Edita cant/precios y recalcula.</t>
        </is>
      </c>
    </row>
    <row r="4">
      <c r="A4" s="3" t="inlineStr">
        <is>
          <t>Subsistema</t>
        </is>
      </c>
      <c r="B4" s="3" t="inlineStr">
        <is>
          <t>Componente</t>
        </is>
      </c>
      <c r="C4" s="3" t="inlineStr">
        <is>
          <t>Cant.</t>
        </is>
      </c>
      <c r="D4" s="3" t="inlineStr">
        <is>
          <t>Precio max</t>
        </is>
      </c>
      <c r="E4" s="3" t="inlineStr">
        <is>
          <t>Subtotal max</t>
        </is>
      </c>
      <c r="F4" s="3" t="inlineStr">
        <is>
          <t>Precio ECO</t>
        </is>
      </c>
      <c r="G4" s="3" t="inlineStr">
        <is>
          <t>Subtotal ECO</t>
        </is>
      </c>
      <c r="H4" s="3" t="inlineStr">
        <is>
          <t>Como bajar de precio</t>
        </is>
      </c>
    </row>
    <row r="5">
      <c r="A5" s="4" t="inlineStr">
        <is>
          <t>Cuenco y estructura (madera)</t>
        </is>
      </c>
    </row>
    <row r="6">
      <c r="B6" s="5" t="inlineStr">
        <is>
          <t>Terciado estructural 18mm (1.22x2.44m)</t>
        </is>
      </c>
      <c r="C6" s="5" t="n">
        <v>3</v>
      </c>
      <c r="D6" s="6" t="n">
        <v>38000</v>
      </c>
      <c r="E6" s="6">
        <f>C6*D6</f>
        <v/>
      </c>
      <c r="F6" s="6" t="n">
        <v>15000</v>
      </c>
      <c r="G6" s="6">
        <f>C6*F6</f>
        <v/>
      </c>
      <c r="H6" s="5" t="inlineStr">
        <is>
          <t>OSB / pallet reciclado</t>
        </is>
      </c>
    </row>
    <row r="7">
      <c r="B7" s="5" t="inlineStr">
        <is>
          <t>Pino 2x4" radiales</t>
        </is>
      </c>
      <c r="C7" s="5" t="n">
        <v>8</v>
      </c>
      <c r="D7" s="6" t="n">
        <v>4500</v>
      </c>
      <c r="E7" s="6">
        <f>C7*D7</f>
        <v/>
      </c>
      <c r="F7" s="6" t="n">
        <v>1500</v>
      </c>
      <c r="G7" s="6">
        <f>C7*F7</f>
        <v/>
      </c>
      <c r="H7" s="5" t="inlineStr">
        <is>
          <t>pallet / rescatado</t>
        </is>
      </c>
    </row>
    <row r="8">
      <c r="B8" s="5" t="inlineStr">
        <is>
          <t>Pino 2x12" bloque central</t>
        </is>
      </c>
      <c r="C8" s="5" t="n">
        <v>1</v>
      </c>
      <c r="D8" s="6" t="n">
        <v>14000</v>
      </c>
      <c r="E8" s="6">
        <f>C8*D8</f>
        <v/>
      </c>
      <c r="F8" s="6" t="n">
        <v>6000</v>
      </c>
      <c r="G8" s="6">
        <f>C8*F8</f>
        <v/>
      </c>
      <c r="H8" s="5" t="inlineStr">
        <is>
          <t>madera rescatada</t>
        </is>
      </c>
    </row>
    <row r="9">
      <c r="B9" s="5" t="inlineStr">
        <is>
          <t>Tornillos estructurales 8x80mm</t>
        </is>
      </c>
      <c r="C9" s="5" t="n">
        <v>1</v>
      </c>
      <c r="D9" s="6" t="n">
        <v>16000</v>
      </c>
      <c r="E9" s="6">
        <f>C9*D9</f>
        <v/>
      </c>
      <c r="F9" s="6" t="n">
        <v>10000</v>
      </c>
      <c r="G9" s="6">
        <f>C9*F9</f>
        <v/>
      </c>
      <c r="H9" s="5" t="inlineStr">
        <is>
          <t>menos cantidad</t>
        </is>
      </c>
    </row>
    <row r="10">
      <c r="B10" s="5" t="inlineStr">
        <is>
          <t>Tornillos madera 4x40mm</t>
        </is>
      </c>
      <c r="C10" s="5" t="n">
        <v>1</v>
      </c>
      <c r="D10" s="6" t="n">
        <v>9000</v>
      </c>
      <c r="E10" s="6">
        <f>C10*D10</f>
        <v/>
      </c>
      <c r="F10" s="6" t="n">
        <v>5000</v>
      </c>
      <c r="G10" s="6">
        <f>C10*F10</f>
        <v/>
      </c>
      <c r="H10" s="5" t="inlineStr"/>
    </row>
    <row r="11">
      <c r="B11" s="5" t="inlineStr">
        <is>
          <t>Adhesivo maderas D3</t>
        </is>
      </c>
      <c r="C11" s="5" t="n">
        <v>1</v>
      </c>
      <c r="D11" s="6" t="n">
        <v>8000</v>
      </c>
      <c r="E11" s="6">
        <f>C11*D11</f>
        <v/>
      </c>
      <c r="F11" s="6" t="n">
        <v>6000</v>
      </c>
      <c r="G11" s="6">
        <f>C11*F11</f>
        <v/>
      </c>
      <c r="H11" s="5" t="inlineStr"/>
    </row>
    <row r="12">
      <c r="B12" s="5" t="inlineStr">
        <is>
          <t>Superficie deslizante</t>
        </is>
      </c>
      <c r="C12" s="5" t="n">
        <v>1</v>
      </c>
      <c r="D12" s="6" t="n">
        <v>42000</v>
      </c>
      <c r="E12" s="6">
        <f>C12*D12</f>
        <v/>
      </c>
      <c r="F12" s="6" t="n">
        <v>12000</v>
      </c>
      <c r="G12" s="6">
        <f>C12*F12</f>
        <v/>
      </c>
      <c r="H12" s="5" t="inlineStr">
        <is>
          <t>alfombra + deslizadores (DIY) en vez de HDPE</t>
        </is>
      </c>
    </row>
    <row r="13">
      <c r="B13" s="5" t="inlineStr">
        <is>
          <t>Lubricante silicona spray</t>
        </is>
      </c>
      <c r="C13" s="5" t="n">
        <v>1</v>
      </c>
      <c r="D13" s="6" t="n">
        <v>8000</v>
      </c>
      <c r="E13" s="6">
        <f>C13*D13</f>
        <v/>
      </c>
      <c r="F13" s="6" t="n">
        <v>6000</v>
      </c>
      <c r="G13" s="6">
        <f>C13*F13</f>
        <v/>
      </c>
      <c r="H13" s="5" t="inlineStr"/>
    </row>
    <row r="14">
      <c r="C14" s="7" t="inlineStr">
        <is>
          <t>Subtotal</t>
        </is>
      </c>
      <c r="E14" s="8">
        <f>SUM(E6:E13)</f>
        <v/>
      </c>
      <c r="G14" s="8">
        <f>SUM(G6:G13)</f>
        <v/>
      </c>
    </row>
    <row r="16">
      <c r="A16" s="4" t="inlineStr">
        <is>
          <t>Giro (anillo/collar) + fierros</t>
        </is>
      </c>
    </row>
    <row r="17">
      <c r="B17" s="5" t="inlineStr">
        <is>
          <t>Rodamiento giratorio del collar</t>
        </is>
      </c>
      <c r="C17" s="5" t="n">
        <v>1</v>
      </c>
      <c r="D17" s="6" t="n">
        <v>30000</v>
      </c>
      <c r="E17" s="6">
        <f>C17*D17</f>
        <v/>
      </c>
      <c r="F17" s="6" t="n">
        <v>12000</v>
      </c>
      <c r="G17" s="6">
        <f>C17*F17</f>
        <v/>
      </c>
      <c r="H17" s="5" t="inlineStr">
        <is>
          <t>lazy-susan barato / rueda auto rescatada</t>
        </is>
      </c>
    </row>
    <row r="18">
      <c r="B18" s="5" t="inlineStr">
        <is>
          <t>Ruedas / rodillos</t>
        </is>
      </c>
      <c r="C18" s="5" t="n">
        <v>4</v>
      </c>
      <c r="D18" s="6" t="n">
        <v>6000</v>
      </c>
      <c r="E18" s="6">
        <f>C18*D18</f>
        <v/>
      </c>
      <c r="F18" s="6" t="n">
        <v>2000</v>
      </c>
      <c r="G18" s="6">
        <f>C18*F18</f>
        <v/>
      </c>
      <c r="H18" s="5" t="inlineStr">
        <is>
          <t>rescatadas</t>
        </is>
      </c>
    </row>
    <row r="19">
      <c r="B19" s="5" t="inlineStr">
        <is>
          <t>Tubo cuadrado 40x40x3mm (6m)</t>
        </is>
      </c>
      <c r="C19" s="5" t="n">
        <v>1</v>
      </c>
      <c r="D19" s="6" t="n">
        <v>26000</v>
      </c>
      <c r="E19" s="6">
        <f>C19*D19</f>
        <v/>
      </c>
      <c r="F19" s="6" t="n">
        <v>12000</v>
      </c>
      <c r="G19" s="6">
        <f>C19*F19</f>
        <v/>
      </c>
      <c r="H19" s="5" t="inlineStr">
        <is>
          <t>fierro usado</t>
        </is>
      </c>
    </row>
    <row r="20">
      <c r="B20" s="5" t="inlineStr">
        <is>
          <t>Tubo cuadrado 50x50x3mm (2m)</t>
        </is>
      </c>
      <c r="C20" s="5" t="n">
        <v>1</v>
      </c>
      <c r="D20" s="6" t="n">
        <v>13000</v>
      </c>
      <c r="E20" s="6">
        <f>C20*D20</f>
        <v/>
      </c>
      <c r="F20" s="6" t="n">
        <v>7000</v>
      </c>
      <c r="G20" s="6">
        <f>C20*F20</f>
        <v/>
      </c>
      <c r="H20" s="5" t="inlineStr">
        <is>
          <t>fierro usado</t>
        </is>
      </c>
    </row>
    <row r="21">
      <c r="B21" s="5" t="inlineStr">
        <is>
          <t>Rodamientos 6008 (juntas)</t>
        </is>
      </c>
      <c r="C21" s="5" t="n">
        <v>2</v>
      </c>
      <c r="D21" s="6" t="n">
        <v>5000</v>
      </c>
      <c r="E21" s="6">
        <f>C21*D21</f>
        <v/>
      </c>
      <c r="F21" s="6" t="n">
        <v>2000</v>
      </c>
      <c r="G21" s="6">
        <f>C21*F21</f>
        <v/>
      </c>
      <c r="H21" s="5" t="inlineStr">
        <is>
          <t>de bicicleta rescatados</t>
        </is>
      </c>
    </row>
    <row r="22">
      <c r="B22" s="5" t="inlineStr">
        <is>
          <t>Pernos M10/M12 8.8 + tuercas</t>
        </is>
      </c>
      <c r="C22" s="5" t="n">
        <v>1</v>
      </c>
      <c r="D22" s="6" t="n">
        <v>16000</v>
      </c>
      <c r="E22" s="6">
        <f>C22*D22</f>
        <v/>
      </c>
      <c r="F22" s="6" t="n">
        <v>10000</v>
      </c>
      <c r="G22" s="6">
        <f>C22*F22</f>
        <v/>
      </c>
      <c r="H22" s="5" t="inlineStr"/>
    </row>
    <row r="23">
      <c r="B23" s="5" t="inlineStr">
        <is>
          <t>Pin acero M10 (codo) + pletinas</t>
        </is>
      </c>
      <c r="C23" s="5" t="n">
        <v>1</v>
      </c>
      <c r="D23" s="6" t="n">
        <v>8000</v>
      </c>
      <c r="E23" s="6">
        <f>C23*D23</f>
        <v/>
      </c>
      <c r="F23" s="6" t="n">
        <v>5000</v>
      </c>
      <c r="G23" s="6">
        <f>C23*F23</f>
        <v/>
      </c>
      <c r="H23" s="5" t="inlineStr"/>
    </row>
    <row r="24">
      <c r="B24" s="5" t="inlineStr">
        <is>
          <t>Cierre rapido (QR) bici</t>
        </is>
      </c>
      <c r="C24" s="5" t="n">
        <v>1</v>
      </c>
      <c r="D24" s="6" t="n">
        <v>7000</v>
      </c>
      <c r="E24" s="6">
        <f>C24*D24</f>
        <v/>
      </c>
      <c r="F24" s="6" t="n">
        <v>3000</v>
      </c>
      <c r="G24" s="6">
        <f>C24*F24</f>
        <v/>
      </c>
      <c r="H24" s="5" t="inlineStr">
        <is>
          <t>rescatado</t>
        </is>
      </c>
    </row>
    <row r="25">
      <c r="C25" s="7" t="inlineStr">
        <is>
          <t>Subtotal</t>
        </is>
      </c>
      <c r="E25" s="8">
        <f>SUM(E17:E24)</f>
        <v/>
      </c>
      <c r="G25" s="8">
        <f>SUM(G17:G24)</f>
        <v/>
      </c>
    </row>
    <row r="27">
      <c r="A27" s="4" t="inlineStr">
        <is>
          <t>Hidraulica (resorte de gas)</t>
        </is>
      </c>
    </row>
    <row r="28">
      <c r="B28" s="5" t="inlineStr">
        <is>
          <t>Resorte a gas 300-400N</t>
        </is>
      </c>
      <c r="C28" s="5" t="n">
        <v>1</v>
      </c>
      <c r="D28" s="6" t="n">
        <v>16000</v>
      </c>
      <c r="E28" s="6">
        <f>C28*D28</f>
        <v/>
      </c>
      <c r="F28" s="6" t="n">
        <v>5000</v>
      </c>
      <c r="G28" s="6">
        <f>C28*F28</f>
        <v/>
      </c>
      <c r="H28" s="5" t="inlineStr">
        <is>
          <t>cilindro de silla de oficina rescatado</t>
        </is>
      </c>
    </row>
    <row r="29">
      <c r="B29" s="5" t="inlineStr">
        <is>
          <t>Terminales rotula / clevis M8</t>
        </is>
      </c>
      <c r="C29" s="5" t="n">
        <v>2</v>
      </c>
      <c r="D29" s="6" t="n">
        <v>4500</v>
      </c>
      <c r="E29" s="6">
        <f>C29*D29</f>
        <v/>
      </c>
      <c r="F29" s="6" t="n">
        <v>2500</v>
      </c>
      <c r="G29" s="6">
        <f>C29*F29</f>
        <v/>
      </c>
      <c r="H29" s="5" t="inlineStr"/>
    </row>
    <row r="30">
      <c r="C30" s="7" t="inlineStr">
        <is>
          <t>Subtotal</t>
        </is>
      </c>
      <c r="E30" s="8">
        <f>SUM(E28:E29)</f>
        <v/>
      </c>
      <c r="G30" s="8">
        <f>SUM(G28:G29)</f>
        <v/>
      </c>
    </row>
    <row r="32">
      <c r="A32" s="4" t="inlineStr">
        <is>
          <t>Arnes y calzado</t>
        </is>
      </c>
    </row>
    <row r="33">
      <c r="B33" s="5" t="inlineStr">
        <is>
          <t>Cinturon lumbar / arnes</t>
        </is>
      </c>
      <c r="C33" s="5" t="n">
        <v>1</v>
      </c>
      <c r="D33" s="6" t="n">
        <v>25000</v>
      </c>
      <c r="E33" s="6">
        <f>C33*D33</f>
        <v/>
      </c>
      <c r="F33" s="6" t="n">
        <v>10000</v>
      </c>
      <c r="G33" s="6">
        <f>C33*F33</f>
        <v/>
      </c>
      <c r="H33" s="5" t="inlineStr">
        <is>
          <t>arnes que ya tengas</t>
        </is>
      </c>
    </row>
    <row r="34">
      <c r="B34" s="5" t="inlineStr">
        <is>
          <t>Deslizadores PTFE/UHMW</t>
        </is>
      </c>
      <c r="C34" s="5" t="n">
        <v>4</v>
      </c>
      <c r="D34" s="6" t="n">
        <v>3000</v>
      </c>
      <c r="E34" s="6">
        <f>C34*D34</f>
        <v/>
      </c>
      <c r="F34" s="6" t="n">
        <v>1500</v>
      </c>
      <c r="G34" s="6">
        <f>C34*F34</f>
        <v/>
      </c>
      <c r="H34" s="5" t="inlineStr">
        <is>
          <t>deslizadores de muebles basicos</t>
        </is>
      </c>
    </row>
    <row r="35">
      <c r="B35" s="5" t="inlineStr">
        <is>
          <t>Correas velcro + hebillas</t>
        </is>
      </c>
      <c r="C35" s="5" t="n">
        <v>1</v>
      </c>
      <c r="D35" s="6" t="n">
        <v>6000</v>
      </c>
      <c r="E35" s="6">
        <f>C35*D35</f>
        <v/>
      </c>
      <c r="F35" s="6" t="n">
        <v>3000</v>
      </c>
      <c r="G35" s="6">
        <f>C35*F35</f>
        <v/>
      </c>
      <c r="H35" s="5" t="inlineStr"/>
    </row>
    <row r="36">
      <c r="B36" s="5" t="inlineStr">
        <is>
          <t>Filamento PETG 1kg</t>
        </is>
      </c>
      <c r="C36" s="5" t="n">
        <v>1</v>
      </c>
      <c r="D36" s="6" t="n">
        <v>20000</v>
      </c>
      <c r="E36" s="6">
        <f>C36*D36</f>
        <v/>
      </c>
      <c r="F36" s="6" t="n">
        <v>12000</v>
      </c>
      <c r="G36" s="6">
        <f>C36*F36</f>
        <v/>
      </c>
      <c r="H36" s="5" t="inlineStr">
        <is>
          <t>PLA / menos filamento</t>
        </is>
      </c>
    </row>
    <row r="37">
      <c r="C37" s="7" t="inlineStr">
        <is>
          <t>Subtotal</t>
        </is>
      </c>
      <c r="E37" s="8">
        <f>SUM(E33:E36)</f>
        <v/>
      </c>
      <c r="G37" s="8">
        <f>SUM(G33:G36)</f>
        <v/>
      </c>
    </row>
    <row r="39">
      <c r="A39" s="4" t="inlineStr">
        <is>
          <t>Electronica (sensores + hub)</t>
        </is>
      </c>
    </row>
    <row r="40">
      <c r="B40" s="5" t="inlineStr">
        <is>
          <t>ESP32-C3 (tracker)</t>
        </is>
      </c>
      <c r="C40" s="5" t="n">
        <v>2</v>
      </c>
      <c r="D40" s="6" t="n">
        <v>6000</v>
      </c>
      <c r="E40" s="6">
        <f>C40*D40</f>
        <v/>
      </c>
      <c r="F40" s="6" t="n">
        <v>4000</v>
      </c>
      <c r="G40" s="6">
        <f>C40*F40</f>
        <v/>
      </c>
      <c r="H40" s="5" t="inlineStr">
        <is>
          <t>ESP32 generico</t>
        </is>
      </c>
    </row>
    <row r="41">
      <c r="B41" s="5" t="inlineStr">
        <is>
          <t>IMU MPU-9250</t>
        </is>
      </c>
      <c r="C41" s="5" t="n">
        <v>2</v>
      </c>
      <c r="D41" s="6" t="n">
        <v>7000</v>
      </c>
      <c r="E41" s="6">
        <f>C41*D41</f>
        <v/>
      </c>
      <c r="F41" s="6" t="n">
        <v>3000</v>
      </c>
      <c r="G41" s="6">
        <f>C41*F41</f>
        <v/>
      </c>
      <c r="H41" s="5" t="inlineStr">
        <is>
          <t>MPU6050 (6 ejes)</t>
        </is>
      </c>
    </row>
    <row r="42">
      <c r="B42" s="5" t="inlineStr">
        <is>
          <t>FSR sensor de fuerza</t>
        </is>
      </c>
      <c r="C42" s="5" t="n">
        <v>2</v>
      </c>
      <c r="D42" s="6" t="n">
        <v>6000</v>
      </c>
      <c r="E42" s="6">
        <f>C42*D42</f>
        <v/>
      </c>
      <c r="F42" s="6" t="n">
        <v>0</v>
      </c>
      <c r="G42" s="6">
        <f>C42*F42</f>
        <v/>
      </c>
      <c r="H42" s="5" t="inlineStr">
        <is>
          <t>omitir: deteccion solo por IMU</t>
        </is>
      </c>
    </row>
    <row r="43">
      <c r="B43" s="5" t="inlineStr">
        <is>
          <t>LiPo + TP4056</t>
        </is>
      </c>
      <c r="C43" s="5" t="n">
        <v>2</v>
      </c>
      <c r="D43" s="6" t="n">
        <v>7000</v>
      </c>
      <c r="E43" s="6">
        <f>C43*D43</f>
        <v/>
      </c>
      <c r="F43" s="6" t="n">
        <v>5000</v>
      </c>
      <c r="G43" s="6">
        <f>C43*F43</f>
        <v/>
      </c>
      <c r="H43" s="5" t="inlineStr"/>
    </row>
    <row r="44">
      <c r="B44" s="5" t="inlineStr">
        <is>
          <t>ESP32-S3 (hub)</t>
        </is>
      </c>
      <c r="C44" s="5" t="n">
        <v>1</v>
      </c>
      <c r="D44" s="6" t="n">
        <v>10000</v>
      </c>
      <c r="E44" s="6">
        <f>C44*D44</f>
        <v/>
      </c>
      <c r="F44" s="6" t="n">
        <v>8000</v>
      </c>
      <c r="G44" s="6">
        <f>C44*F44</f>
        <v/>
      </c>
      <c r="H44" s="5" t="inlineStr"/>
    </row>
    <row r="45">
      <c r="B45" s="5" t="inlineStr">
        <is>
          <t>Cables, JST, headers</t>
        </is>
      </c>
      <c r="C45" s="5" t="n">
        <v>1</v>
      </c>
      <c r="D45" s="6" t="n">
        <v>8000</v>
      </c>
      <c r="E45" s="6">
        <f>C45*D45</f>
        <v/>
      </c>
      <c r="F45" s="6" t="n">
        <v>5000</v>
      </c>
      <c r="G45" s="6">
        <f>C45*F45</f>
        <v/>
      </c>
      <c r="H45" s="5" t="inlineStr"/>
    </row>
    <row r="46">
      <c r="C46" s="7" t="inlineStr">
        <is>
          <t>Subtotal</t>
        </is>
      </c>
      <c r="E46" s="8">
        <f>SUM(E40:E45)</f>
        <v/>
      </c>
      <c r="G46" s="8">
        <f>SUM(G40:G45)</f>
        <v/>
      </c>
    </row>
    <row r="48">
      <c r="A48" s="4" t="inlineStr">
        <is>
          <t>Varios / consumibles</t>
        </is>
      </c>
    </row>
    <row r="49">
      <c r="B49" s="5" t="inlineStr">
        <is>
          <t>Poliuretano/sellador + lija</t>
        </is>
      </c>
      <c r="C49" s="5" t="n">
        <v>1</v>
      </c>
      <c r="D49" s="6" t="n">
        <v>13000</v>
      </c>
      <c r="E49" s="6">
        <f>C49*D49</f>
        <v/>
      </c>
      <c r="F49" s="6" t="n">
        <v>8000</v>
      </c>
      <c r="G49" s="6">
        <f>C49*F49</f>
        <v/>
      </c>
      <c r="H49" s="5" t="inlineStr"/>
    </row>
    <row r="50">
      <c r="B50" s="5" t="inlineStr">
        <is>
          <t>Grasa rodamientos</t>
        </is>
      </c>
      <c r="C50" s="5" t="n">
        <v>1</v>
      </c>
      <c r="D50" s="6" t="n">
        <v>5000</v>
      </c>
      <c r="E50" s="6">
        <f>C50*D50</f>
        <v/>
      </c>
      <c r="F50" s="6" t="n">
        <v>3000</v>
      </c>
      <c r="G50" s="6">
        <f>C50*F50</f>
        <v/>
      </c>
      <c r="H50" s="5" t="inlineStr"/>
    </row>
    <row r="51">
      <c r="B51" s="5" t="inlineStr">
        <is>
          <t>Imprevistos / envios (~10%)</t>
        </is>
      </c>
      <c r="C51" s="5" t="n">
        <v>1</v>
      </c>
      <c r="D51" s="6" t="n">
        <v>55000</v>
      </c>
      <c r="E51" s="6">
        <f>C51*D51</f>
        <v/>
      </c>
      <c r="F51" s="6" t="n">
        <v>30000</v>
      </c>
      <c r="G51" s="6">
        <f>C51*F51</f>
        <v/>
      </c>
      <c r="H51" s="5" t="inlineStr">
        <is>
          <t>menos colchon</t>
        </is>
      </c>
    </row>
    <row r="52">
      <c r="C52" s="7" t="inlineStr">
        <is>
          <t>Subtotal</t>
        </is>
      </c>
      <c r="E52" s="8">
        <f>SUM(E49:E51)</f>
        <v/>
      </c>
      <c r="G52" s="8">
        <f>SUM(G49:G51)</f>
        <v/>
      </c>
    </row>
    <row r="54">
      <c r="C54" s="9" t="inlineStr">
        <is>
          <t>TOTAL</t>
        </is>
      </c>
      <c r="E54" s="10">
        <f>E14+E25+E30+E37+E46+E52</f>
        <v/>
      </c>
      <c r="G54" s="10">
        <f>G14+G25+G30+G37+G46+G52</f>
        <v/>
      </c>
    </row>
  </sheetData>
  <mergeCells count="10">
    <mergeCell ref="A1:H1"/>
    <mergeCell ref="A48:H48"/>
    <mergeCell ref="A1:G1"/>
    <mergeCell ref="A39:H39"/>
    <mergeCell ref="A2:H2"/>
    <mergeCell ref="A16:H16"/>
    <mergeCell ref="A2:G2"/>
    <mergeCell ref="A5:H5"/>
    <mergeCell ref="A32:H32"/>
    <mergeCell ref="A27:H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2026-07-07T21:22:26Z</dcterms:created>
  <dcterms:modified xmlns:dcterms="http://purl.org/dc/terms/" xmlns:xsi="http://www.w3.org/2001/XMLSchema-instance" xsi:type="dcterms:W3CDTF">2026-07-07T21:22:26Z</dcterms:modified>
</cp:coreProperties>
</file>