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 OpenOmni C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CLP&quot;"/>
  </numFmts>
  <fonts count="6">
    <font>
      <name val="Calibri"/>
      <family val="2"/>
      <color theme="1"/>
      <sz val="11"/>
      <scheme val="minor"/>
    </font>
    <font>
      <b val="1"/>
      <color rgb="00FF6A3D"/>
      <sz val="16"/>
    </font>
    <font>
      <i val="1"/>
      <color rgb="00808A99"/>
      <sz val="10"/>
    </font>
    <font>
      <b val="1"/>
      <color rgb="00FFFFFF"/>
    </font>
    <font>
      <b val="1"/>
    </font>
    <font>
      <b val="1"/>
      <color rgb="00FF6A3D"/>
      <sz val="13"/>
    </font>
  </fonts>
  <fills count="6">
    <fill>
      <patternFill/>
    </fill>
    <fill>
      <patternFill patternType="gray125"/>
    </fill>
    <fill>
      <patternFill patternType="solid">
        <fgColor rgb="001E2530"/>
      </patternFill>
    </fill>
    <fill>
      <patternFill patternType="solid">
        <fgColor rgb="003A4759"/>
      </patternFill>
    </fill>
    <fill>
      <patternFill patternType="solid">
        <fgColor rgb="00EDEFF3"/>
      </patternFill>
    </fill>
    <fill>
      <patternFill patternType="solid">
        <fgColor rgb="00FFE7DE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4" borderId="0" pivotButton="0" quotePrefix="0" xfId="0"/>
    <xf numFmtId="0" fontId="5" fillId="0" borderId="0" pivotButton="0" quotePrefix="0" xfId="0"/>
    <xf numFmtId="164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7" customWidth="1" min="3" max="3"/>
    <col width="18" customWidth="1" min="4" max="4"/>
    <col width="18" customWidth="1" min="5" max="5"/>
    <col width="26" customWidth="1" min="6" max="6"/>
  </cols>
  <sheetData>
    <row r="1">
      <c r="A1" s="1" t="inlineStr">
        <is>
          <t>OpenOmni — Costo maximo estimado (Antofagasta, Chile)</t>
        </is>
      </c>
    </row>
    <row r="2">
      <c r="A2" s="2" t="inlineStr">
        <is>
          <t>Pesos chilenos (CLP). Precios de referencia tope; edita cantidades/precios y los totales se recalculan.</t>
        </is>
      </c>
    </row>
    <row r="4">
      <c r="A4" s="3" t="inlineStr">
        <is>
          <t>Subsistema</t>
        </is>
      </c>
      <c r="B4" s="3" t="inlineStr">
        <is>
          <t>Componente</t>
        </is>
      </c>
      <c r="C4" s="3" t="inlineStr">
        <is>
          <t>Cant.</t>
        </is>
      </c>
      <c r="D4" s="3" t="inlineStr">
        <is>
          <t>Precio unit. (CLP)</t>
        </is>
      </c>
      <c r="E4" s="3" t="inlineStr">
        <is>
          <t>Subtotal (CLP)</t>
        </is>
      </c>
      <c r="F4" s="3" t="inlineStr">
        <is>
          <t>Notas / donde</t>
        </is>
      </c>
    </row>
    <row r="5">
      <c r="A5" s="4" t="inlineStr">
        <is>
          <t>Cuenco y estructura (madera)</t>
        </is>
      </c>
    </row>
    <row r="6">
      <c r="B6" s="5" t="inlineStr">
        <is>
          <t>Terciado estructural 18mm (1.22x2.44m)</t>
        </is>
      </c>
      <c r="C6" s="5" t="n">
        <v>3</v>
      </c>
      <c r="D6" s="6" t="n">
        <v>38000</v>
      </c>
      <c r="E6" s="6">
        <f>C6*D6</f>
        <v/>
      </c>
      <c r="F6" s="5" t="inlineStr">
        <is>
          <t>Sodimac / Construmart</t>
        </is>
      </c>
    </row>
    <row r="7">
      <c r="B7" s="5" t="inlineStr">
        <is>
          <t>Pino 2x4" (3.2m) - vigas radiales</t>
        </is>
      </c>
      <c r="C7" s="5" t="n">
        <v>8</v>
      </c>
      <c r="D7" s="6" t="n">
        <v>4500</v>
      </c>
      <c r="E7" s="6">
        <f>C7*D7</f>
        <v/>
      </c>
      <c r="F7" s="5" t="inlineStr">
        <is>
          <t>estructura tipo rayos</t>
        </is>
      </c>
    </row>
    <row r="8">
      <c r="B8" s="5" t="inlineStr">
        <is>
          <t>Pino 2x12" - bloque central octagono</t>
        </is>
      </c>
      <c r="C8" s="5" t="n">
        <v>1</v>
      </c>
      <c r="D8" s="6" t="n">
        <v>14000</v>
      </c>
      <c r="E8" s="6">
        <f>C8*D8</f>
        <v/>
      </c>
      <c r="F8" s="5" t="inlineStr"/>
    </row>
    <row r="9">
      <c r="B9" s="5" t="inlineStr">
        <is>
          <t>Tornillos estructurales 8x80mm (caja)</t>
        </is>
      </c>
      <c r="C9" s="5" t="n">
        <v>1</v>
      </c>
      <c r="D9" s="6" t="n">
        <v>16000</v>
      </c>
      <c r="E9" s="6">
        <f>C9*D9</f>
        <v/>
      </c>
      <c r="F9" s="5" t="inlineStr">
        <is>
          <t>juntas radial-centro</t>
        </is>
      </c>
    </row>
    <row r="10">
      <c r="B10" s="5" t="inlineStr">
        <is>
          <t>Tornillos madera 4x40mm (caja 200)</t>
        </is>
      </c>
      <c r="C10" s="5" t="n">
        <v>1</v>
      </c>
      <c r="D10" s="6" t="n">
        <v>9000</v>
      </c>
      <c r="E10" s="6">
        <f>C10*D10</f>
        <v/>
      </c>
      <c r="F10" s="5" t="inlineStr">
        <is>
          <t>deck a radiales</t>
        </is>
      </c>
    </row>
    <row r="11">
      <c r="B11" s="5" t="inlineStr">
        <is>
          <t>Adhesivo maderas D3 (250ml)</t>
        </is>
      </c>
      <c r="C11" s="5" t="n">
        <v>1</v>
      </c>
      <c r="D11" s="6" t="n">
        <v>8000</v>
      </c>
      <c r="E11" s="6">
        <f>C11*D11</f>
        <v/>
      </c>
      <c r="F11" s="5" t="inlineStr"/>
    </row>
    <row r="12">
      <c r="B12" s="5" t="inlineStr">
        <is>
          <t>Lamina HDPE / melamina lisa (superficie)</t>
        </is>
      </c>
      <c r="C12" s="5" t="n">
        <v>1</v>
      </c>
      <c r="D12" s="6" t="n">
        <v>42000</v>
      </c>
      <c r="E12" s="6">
        <f>C12*D12</f>
        <v/>
      </c>
      <c r="F12" s="5" t="inlineStr">
        <is>
          <t>cara deslizante</t>
        </is>
      </c>
    </row>
    <row r="13">
      <c r="B13" s="5" t="inlineStr">
        <is>
          <t>Lubricante silicona spray</t>
        </is>
      </c>
      <c r="C13" s="5" t="n">
        <v>1</v>
      </c>
      <c r="D13" s="6" t="n">
        <v>8000</v>
      </c>
      <c r="E13" s="6">
        <f>C13*D13</f>
        <v/>
      </c>
      <c r="F13" s="5" t="inlineStr">
        <is>
          <t>baja friccion</t>
        </is>
      </c>
    </row>
    <row r="14">
      <c r="D14" s="7" t="inlineStr">
        <is>
          <t>Subtotal</t>
        </is>
      </c>
      <c r="E14" s="8">
        <f>SUM(E6:E13)</f>
        <v/>
      </c>
    </row>
    <row r="16">
      <c r="A16" s="4" t="inlineStr">
        <is>
          <t>Giro (anillo turntable) + fierros</t>
        </is>
      </c>
    </row>
    <row r="17">
      <c r="B17" s="5" t="inlineStr">
        <is>
          <t>Rodamiento plato giratorio / lazy-susan grande</t>
        </is>
      </c>
      <c r="C17" s="5" t="n">
        <v>1</v>
      </c>
      <c r="D17" s="6" t="n">
        <v>30000</v>
      </c>
      <c r="E17" s="6">
        <f>C17*D17</f>
        <v/>
      </c>
      <c r="F17" s="5" t="inlineStr">
        <is>
          <t>el collar giratorio</t>
        </is>
      </c>
    </row>
    <row r="18">
      <c r="B18" s="5" t="inlineStr">
        <is>
          <t>Ruedas / rodillos industriales (respaldo)</t>
        </is>
      </c>
      <c r="C18" s="5" t="n">
        <v>4</v>
      </c>
      <c r="D18" s="6" t="n">
        <v>6000</v>
      </c>
      <c r="E18" s="6">
        <f>C18*D18</f>
        <v/>
      </c>
      <c r="F18" s="5" t="inlineStr"/>
    </row>
    <row r="19">
      <c r="B19" s="5" t="inlineStr">
        <is>
          <t>Tubo cuadrado acero 40x40x3mm (6m)</t>
        </is>
      </c>
      <c r="C19" s="5" t="n">
        <v>1</v>
      </c>
      <c r="D19" s="6" t="n">
        <v>26000</v>
      </c>
      <c r="E19" s="6">
        <f>C19*D19</f>
        <v/>
      </c>
      <c r="F19" s="5" t="inlineStr">
        <is>
          <t>eslabon inferior brazo</t>
        </is>
      </c>
    </row>
    <row r="20">
      <c r="B20" s="5" t="inlineStr">
        <is>
          <t>Tubo cuadrado acero 50x50x3mm (2m)</t>
        </is>
      </c>
      <c r="C20" s="5" t="n">
        <v>1</v>
      </c>
      <c r="D20" s="6" t="n">
        <v>13000</v>
      </c>
      <c r="E20" s="6">
        <f>C20*D20</f>
        <v/>
      </c>
      <c r="F20" s="5" t="inlineStr">
        <is>
          <t>poste</t>
        </is>
      </c>
    </row>
    <row r="21">
      <c r="B21" s="5" t="inlineStr">
        <is>
          <t>Rodamientos 6008 (juntas del brazo)</t>
        </is>
      </c>
      <c r="C21" s="5" t="n">
        <v>2</v>
      </c>
      <c r="D21" s="6" t="n">
        <v>5000</v>
      </c>
      <c r="E21" s="6">
        <f>C21*D21</f>
        <v/>
      </c>
      <c r="F21" s="5" t="inlineStr"/>
    </row>
    <row r="22">
      <c r="B22" s="5" t="inlineStr">
        <is>
          <t>Pernos M10/M12 grado 8.8 + tuercas</t>
        </is>
      </c>
      <c r="C22" s="5" t="n">
        <v>1</v>
      </c>
      <c r="D22" s="6" t="n">
        <v>16000</v>
      </c>
      <c r="E22" s="6">
        <f>C22*D22</f>
        <v/>
      </c>
      <c r="F22" s="5" t="inlineStr">
        <is>
          <t>ejes / doble corte</t>
        </is>
      </c>
    </row>
    <row r="23">
      <c r="B23" s="5" t="inlineStr">
        <is>
          <t>Pin acero M10 (codo) + pletinas</t>
        </is>
      </c>
      <c r="C23" s="5" t="n">
        <v>1</v>
      </c>
      <c r="D23" s="6" t="n">
        <v>8000</v>
      </c>
      <c r="E23" s="6">
        <f>C23*D23</f>
        <v/>
      </c>
      <c r="F23" s="5" t="inlineStr">
        <is>
          <t>junta del codo</t>
        </is>
      </c>
    </row>
    <row r="24">
      <c r="B24" s="5" t="inlineStr">
        <is>
          <t>Cierre rapido (QR) de bicicleta</t>
        </is>
      </c>
      <c r="C24" s="5" t="n">
        <v>1</v>
      </c>
      <c r="D24" s="6" t="n">
        <v>7000</v>
      </c>
      <c r="E24" s="6">
        <f>C24*D24</f>
        <v/>
      </c>
      <c r="F24" s="5" t="inlineStr">
        <is>
          <t>bloqueo del brazo</t>
        </is>
      </c>
    </row>
    <row r="25">
      <c r="D25" s="7" t="inlineStr">
        <is>
          <t>Subtotal</t>
        </is>
      </c>
      <c r="E25" s="8">
        <f>SUM(E17:E24)</f>
        <v/>
      </c>
    </row>
    <row r="27">
      <c r="A27" s="4" t="inlineStr">
        <is>
          <t>Hidraulica (resorte de gas)</t>
        </is>
      </c>
    </row>
    <row r="28">
      <c r="B28" s="5" t="inlineStr">
        <is>
          <t>Resorte a gas 300-400N, carrera &gt;=120mm</t>
        </is>
      </c>
      <c r="C28" s="5" t="n">
        <v>1</v>
      </c>
      <c r="D28" s="6" t="n">
        <v>16000</v>
      </c>
      <c r="E28" s="6">
        <f>C28*D28</f>
        <v/>
      </c>
      <c r="F28" s="5" t="inlineStr">
        <is>
          <t>o cilindro silla oficina</t>
        </is>
      </c>
    </row>
    <row r="29">
      <c r="B29" s="5" t="inlineStr">
        <is>
          <t>Terminales rotula / clevis M8</t>
        </is>
      </c>
      <c r="C29" s="5" t="n">
        <v>2</v>
      </c>
      <c r="D29" s="6" t="n">
        <v>4500</v>
      </c>
      <c r="E29" s="6">
        <f>C29*D29</f>
        <v/>
      </c>
      <c r="F29" s="5" t="inlineStr">
        <is>
          <t>montaje del strut</t>
        </is>
      </c>
    </row>
    <row r="30">
      <c r="D30" s="7" t="inlineStr">
        <is>
          <t>Subtotal</t>
        </is>
      </c>
      <c r="E30" s="8">
        <f>SUM(E28:E29)</f>
        <v/>
      </c>
    </row>
    <row r="32">
      <c r="A32" s="4" t="inlineStr">
        <is>
          <t>Arnes y calzado</t>
        </is>
      </c>
    </row>
    <row r="33">
      <c r="B33" s="5" t="inlineStr">
        <is>
          <t>Cinturon lumbar / arnes acolchado</t>
        </is>
      </c>
      <c r="C33" s="5" t="n">
        <v>1</v>
      </c>
      <c r="D33" s="6" t="n">
        <v>25000</v>
      </c>
      <c r="E33" s="6">
        <f>C33*D33</f>
        <v/>
      </c>
      <c r="F33" s="5" t="inlineStr">
        <is>
          <t>interfaz cuerpo-brazo</t>
        </is>
      </c>
    </row>
    <row r="34">
      <c r="B34" s="5" t="inlineStr">
        <is>
          <t>Deslizadores PTFE/UHMW (muebles)</t>
        </is>
      </c>
      <c r="C34" s="5" t="n">
        <v>4</v>
      </c>
      <c r="D34" s="6" t="n">
        <v>3000</v>
      </c>
      <c r="E34" s="6">
        <f>C34*D34</f>
        <v/>
      </c>
      <c r="F34" s="5" t="inlineStr">
        <is>
          <t>almohadillas del calzado</t>
        </is>
      </c>
    </row>
    <row r="35">
      <c r="B35" s="5" t="inlineStr">
        <is>
          <t>Correas velcro + hebillas</t>
        </is>
      </c>
      <c r="C35" s="5" t="n">
        <v>1</v>
      </c>
      <c r="D35" s="6" t="n">
        <v>6000</v>
      </c>
      <c r="E35" s="6">
        <f>C35*D35</f>
        <v/>
      </c>
      <c r="F35" s="5" t="inlineStr"/>
    </row>
    <row r="36">
      <c r="B36" s="5" t="inlineStr">
        <is>
          <t>Filamento PETG 1kg (piezas impresas)</t>
        </is>
      </c>
      <c r="C36" s="5" t="n">
        <v>1</v>
      </c>
      <c r="D36" s="6" t="n">
        <v>20000</v>
      </c>
      <c r="E36" s="6">
        <f>C36*D36</f>
        <v/>
      </c>
      <c r="F36" s="5" t="inlineStr"/>
    </row>
    <row r="37">
      <c r="D37" s="7" t="inlineStr">
        <is>
          <t>Subtotal</t>
        </is>
      </c>
      <c r="E37" s="8">
        <f>SUM(E33:E36)</f>
        <v/>
      </c>
    </row>
    <row r="39">
      <c r="A39" s="4" t="inlineStr">
        <is>
          <t>Electronica (sensores + hub)</t>
        </is>
      </c>
    </row>
    <row r="40">
      <c r="B40" s="5" t="inlineStr">
        <is>
          <t>ESP32-C3 (tracker de pie)</t>
        </is>
      </c>
      <c r="C40" s="5" t="n">
        <v>2</v>
      </c>
      <c r="D40" s="6" t="n">
        <v>6000</v>
      </c>
      <c r="E40" s="6">
        <f>C40*D40</f>
        <v/>
      </c>
      <c r="F40" s="5" t="inlineStr">
        <is>
          <t>AliExpress / local</t>
        </is>
      </c>
    </row>
    <row r="41">
      <c r="B41" s="5" t="inlineStr">
        <is>
          <t>IMU MPU-9250 / ICM-20948</t>
        </is>
      </c>
      <c r="C41" s="5" t="n">
        <v>2</v>
      </c>
      <c r="D41" s="6" t="n">
        <v>7000</v>
      </c>
      <c r="E41" s="6">
        <f>C41*D41</f>
        <v/>
      </c>
      <c r="F41" s="5" t="inlineStr"/>
    </row>
    <row r="42">
      <c r="B42" s="5" t="inlineStr">
        <is>
          <t>FSR sensor de fuerza (talon)</t>
        </is>
      </c>
      <c r="C42" s="5" t="n">
        <v>2</v>
      </c>
      <c r="D42" s="6" t="n">
        <v>6000</v>
      </c>
      <c r="E42" s="6">
        <f>C42*D42</f>
        <v/>
      </c>
      <c r="F42" s="5" t="inlineStr"/>
    </row>
    <row r="43">
      <c r="B43" s="5" t="inlineStr">
        <is>
          <t>LiPo 500-1000mAh + cargador TP4056</t>
        </is>
      </c>
      <c r="C43" s="5" t="n">
        <v>2</v>
      </c>
      <c r="D43" s="6" t="n">
        <v>7000</v>
      </c>
      <c r="E43" s="6">
        <f>C43*D43</f>
        <v/>
      </c>
      <c r="F43" s="5" t="inlineStr"/>
    </row>
    <row r="44">
      <c r="B44" s="5" t="inlineStr">
        <is>
          <t>ESP32-S3 (hub = mando USB)</t>
        </is>
      </c>
      <c r="C44" s="5" t="n">
        <v>1</v>
      </c>
      <c r="D44" s="6" t="n">
        <v>10000</v>
      </c>
      <c r="E44" s="6">
        <f>C44*D44</f>
        <v/>
      </c>
      <c r="F44" s="5" t="inlineStr"/>
    </row>
    <row r="45">
      <c r="B45" s="5" t="inlineStr">
        <is>
          <t>Cables, JST, headers, resistencias</t>
        </is>
      </c>
      <c r="C45" s="5" t="n">
        <v>1</v>
      </c>
      <c r="D45" s="6" t="n">
        <v>8000</v>
      </c>
      <c r="E45" s="6">
        <f>C45*D45</f>
        <v/>
      </c>
      <c r="F45" s="5" t="inlineStr"/>
    </row>
    <row r="46">
      <c r="D46" s="7" t="inlineStr">
        <is>
          <t>Subtotal</t>
        </is>
      </c>
      <c r="E46" s="8">
        <f>SUM(E40:E45)</f>
        <v/>
      </c>
    </row>
    <row r="48">
      <c r="A48" s="4" t="inlineStr">
        <is>
          <t>Varios / consumibles</t>
        </is>
      </c>
    </row>
    <row r="49">
      <c r="B49" s="5" t="inlineStr">
        <is>
          <t>Poliuretano/sellador + lija</t>
        </is>
      </c>
      <c r="C49" s="5" t="n">
        <v>1</v>
      </c>
      <c r="D49" s="6" t="n">
        <v>13000</v>
      </c>
      <c r="E49" s="6">
        <f>C49*D49</f>
        <v/>
      </c>
      <c r="F49" s="5" t="inlineStr">
        <is>
          <t>acabado del cuenco</t>
        </is>
      </c>
    </row>
    <row r="50">
      <c r="B50" s="5" t="inlineStr">
        <is>
          <t>Grasa para rodamientos</t>
        </is>
      </c>
      <c r="C50" s="5" t="n">
        <v>1</v>
      </c>
      <c r="D50" s="6" t="n">
        <v>5000</v>
      </c>
      <c r="E50" s="6">
        <f>C50*D50</f>
        <v/>
      </c>
      <c r="F50" s="5" t="inlineStr"/>
    </row>
    <row r="51">
      <c r="B51" s="5" t="inlineStr">
        <is>
          <t>Imprevistos / envios (~10%)</t>
        </is>
      </c>
      <c r="C51" s="5" t="n">
        <v>1</v>
      </c>
      <c r="D51" s="6" t="n">
        <v>55000</v>
      </c>
      <c r="E51" s="6">
        <f>C51*D51</f>
        <v/>
      </c>
      <c r="F51" s="5" t="inlineStr">
        <is>
          <t>colchon</t>
        </is>
      </c>
    </row>
    <row r="52">
      <c r="D52" s="7" t="inlineStr">
        <is>
          <t>Subtotal</t>
        </is>
      </c>
      <c r="E52" s="8">
        <f>SUM(E49:E51)</f>
        <v/>
      </c>
    </row>
    <row r="54">
      <c r="D54" s="9" t="inlineStr">
        <is>
          <t>TOTAL MAXIMO</t>
        </is>
      </c>
      <c r="E54" s="10">
        <f>E14+E25+E30+E37+E46+E52</f>
        <v/>
      </c>
    </row>
  </sheetData>
  <mergeCells count="8">
    <mergeCell ref="A2:F2"/>
    <mergeCell ref="A16:F16"/>
    <mergeCell ref="A1:F1"/>
    <mergeCell ref="A5:F5"/>
    <mergeCell ref="A32:F32"/>
    <mergeCell ref="A27:F27"/>
    <mergeCell ref="A48:F48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2026-07-07T21:13:36Z</dcterms:created>
  <dcterms:modified xmlns:dcterms="http://purl.org/dc/terms/" xmlns:xsi="http://www.w3.org/2001/XMLSchema-instance" xsi:type="dcterms:W3CDTF">2026-07-07T21:13:36Z</dcterms:modified>
</cp:coreProperties>
</file>